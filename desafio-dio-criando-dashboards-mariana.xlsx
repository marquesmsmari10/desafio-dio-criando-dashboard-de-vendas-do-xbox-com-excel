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de_dados_xbox" sheetId="1" r:id="rId5"/>
  </sheets>
  <definedNames/>
  <calcPr/>
</workbook>
</file>

<file path=xl/sharedStrings.xml><?xml version="1.0" encoding="utf-8"?>
<sst xmlns="http://schemas.openxmlformats.org/spreadsheetml/2006/main" count="44" uniqueCount="28">
  <si>
    <t>DASHBOARD DE VENDAS XBOX</t>
  </si>
  <si>
    <t>TOTAL DE UNIDADES VENDIDAS</t>
  </si>
  <si>
    <t>FATURAMENTO GLOBAL</t>
  </si>
  <si>
    <t>TICKET MÉDIO GLOBAL</t>
  </si>
  <si>
    <t>Volume de consoles comercializados</t>
  </si>
  <si>
    <t>Receita bruta total do período</t>
  </si>
  <si>
    <t>Preço médio unitário de venda</t>
  </si>
  <si>
    <t>VENDAS POR MODELO</t>
  </si>
  <si>
    <t>VENDAS POR REGIÃO</t>
  </si>
  <si>
    <t>Modelo</t>
  </si>
  <si>
    <t>Unidades</t>
  </si>
  <si>
    <t>Faturamento (R$)</t>
  </si>
  <si>
    <t>Região</t>
  </si>
  <si>
    <t>% do Total</t>
  </si>
  <si>
    <t>Xbox Series X</t>
  </si>
  <si>
    <t>América do Norte</t>
  </si>
  <si>
    <t>Xbox Series S</t>
  </si>
  <si>
    <t>América Latina</t>
  </si>
  <si>
    <t>Xbox One S</t>
  </si>
  <si>
    <t>Europa</t>
  </si>
  <si>
    <t>Total</t>
  </si>
  <si>
    <t>Ásia</t>
  </si>
  <si>
    <t>BASE DE DADOS BRUTOS (base.xlsx)</t>
  </si>
  <si>
    <t>Data da Venda</t>
  </si>
  <si>
    <t>Quantidade</t>
  </si>
  <si>
    <t>Valor Unitário (R$)</t>
  </si>
  <si>
    <t>Faturamento Total (R$)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</si>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</sst>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$&quot; #,##0"/>
    <numFmt numFmtId="165" formatCode="dd/mm/yyyy"/>
    <numFmt numFmtId="166" formatCode="0.0%"/>
    <numFmt numFmtId="167" formatCode="yyyy-mm-dd"/>
  </numFmts>
  <fonts count="9">
    <font>
      <sz val="10.0"/>
      <color rgb="FF000000"/>
      <name val="Arial"/>
      <scheme val="minor"/>
    </font>
    <font>
      <b/>
      <sz val="14.0"/>
      <color rgb="FFFFFFFF"/>
      <name val="Segoe UI"/>
    </font>
    <font>
      <color rgb="FFFFFFFF"/>
      <name val="Segoe UI"/>
    </font>
    <font>
      <b/>
      <sz val="10.0"/>
      <color rgb="FFFFFFFF"/>
      <name val="Segoe UI"/>
    </font>
    <font/>
    <font>
      <b/>
      <sz val="18.0"/>
      <color rgb="FFFFFFFF"/>
      <name val="Segoe UI"/>
    </font>
    <font>
      <sz val="9.0"/>
      <color rgb="FFB0B3B8"/>
      <name val="Segoe UI"/>
    </font>
    <font>
      <b/>
      <sz val="11.0"/>
      <color rgb="FFFFFFFF"/>
      <name val="Segoe UI"/>
    </font>
    <font>
      <sz val="10.0"/>
      <color rgb="FFFFFFFF"/>
      <name val="Segoe UI"/>
    </font>
  </fonts>
  <fills count="7">
    <fill>
      <patternFill patternType="none"/>
    </fill>
    <fill>
      <patternFill patternType="lightGray"/>
    </fill>
    <fill>
      <patternFill patternType="solid">
        <fgColor rgb="FF107B10"/>
        <bgColor rgb="FF107B10"/>
      </patternFill>
    </fill>
    <fill>
      <patternFill patternType="solid">
        <fgColor rgb="FF171A1B"/>
        <bgColor rgb="FF171A1B"/>
      </patternFill>
    </fill>
    <fill>
      <patternFill patternType="solid">
        <fgColor rgb="FF25292B"/>
        <bgColor rgb="FF25292B"/>
      </patternFill>
    </fill>
    <fill>
      <patternFill patternType="solid">
        <fgColor rgb="FF0D600D"/>
        <bgColor rgb="FF0D600D"/>
      </patternFill>
    </fill>
    <fill>
      <patternFill patternType="solid">
        <fgColor rgb="FF2E3236"/>
        <bgColor rgb="FF2E3236"/>
      </patternFill>
    </fill>
  </fills>
  <borders count="9">
    <border/>
    <border>
      <left style="thin">
        <color rgb="FF107B10"/>
      </left>
      <top style="thin">
        <color rgb="FF107B10"/>
      </top>
    </border>
    <border>
      <right style="thin">
        <color rgb="FF107B10"/>
      </right>
      <top style="thin">
        <color rgb="FF107B10"/>
      </top>
    </border>
    <border>
      <left style="thin">
        <color rgb="FF107B10"/>
      </left>
    </border>
    <border>
      <right style="thin">
        <color rgb="FF107B10"/>
      </right>
    </border>
    <border>
      <left style="thin">
        <color rgb="FF107B10"/>
      </left>
      <bottom style="thin">
        <color rgb="FF107B10"/>
      </bottom>
    </border>
    <border>
      <right style="thin">
        <color rgb="FF107B10"/>
      </right>
      <bottom style="thin">
        <color rgb="FF107B10"/>
      </bottom>
    </border>
    <border>
      <top style="thin">
        <color rgb="FF107B10"/>
      </top>
    </border>
    <border>
      <bottom style="thin">
        <color rgb="FF107B1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Fill="1" applyFont="1"/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4" fontId="5" numFmtId="3" xfId="0" applyAlignment="1" applyBorder="1" applyFill="1" applyFont="1" applyNumberFormat="1">
      <alignment horizontal="center" readingOrder="0" vertical="center"/>
    </xf>
    <xf borderId="4" fillId="0" fontId="4" numFmtId="0" xfId="0" applyBorder="1" applyFont="1"/>
    <xf borderId="3" fillId="4" fontId="5" numFmtId="164" xfId="0" applyAlignment="1" applyBorder="1" applyFill="1" applyFont="1" applyNumberFormat="1">
      <alignment horizontal="center" vertical="center"/>
    </xf>
    <xf borderId="5" fillId="4" fontId="6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0" fillId="3" fontId="2" numFmtId="165" xfId="0" applyAlignment="1" applyFill="1" applyFont="1" applyNumberFormat="1">
      <alignment readingOrder="0"/>
    </xf>
    <xf borderId="1" fillId="2" fontId="7" numFmtId="0" xfId="0" applyAlignment="1" applyBorder="1" applyFill="1" applyFont="1">
      <alignment horizontal="center" readingOrder="0" vertical="center"/>
    </xf>
    <xf borderId="7" fillId="0" fontId="4" numFmtId="0" xfId="0" applyBorder="1" applyFont="1"/>
    <xf borderId="3" fillId="5" fontId="3" numFmtId="0" xfId="0" applyAlignment="1" applyBorder="1" applyFill="1" applyFont="1">
      <alignment horizontal="left" readingOrder="0" vertical="center"/>
    </xf>
    <xf borderId="0" fillId="5" fontId="3" numFmtId="0" xfId="0" applyAlignment="1" applyFill="1" applyFont="1">
      <alignment horizontal="right" readingOrder="0" vertical="center"/>
    </xf>
    <xf borderId="4" fillId="5" fontId="3" numFmtId="0" xfId="0" applyAlignment="1" applyBorder="1" applyFill="1" applyFont="1">
      <alignment horizontal="right" readingOrder="0" vertical="center"/>
    </xf>
    <xf borderId="3" fillId="4" fontId="8" numFmtId="0" xfId="0" applyAlignment="1" applyBorder="1" applyFill="1" applyFont="1">
      <alignment readingOrder="0" vertical="center"/>
    </xf>
    <xf borderId="0" fillId="4" fontId="8" numFmtId="3" xfId="0" applyAlignment="1" applyFill="1" applyFont="1" applyNumberFormat="1">
      <alignment vertical="center"/>
    </xf>
    <xf borderId="4" fillId="4" fontId="8" numFmtId="164" xfId="0" applyAlignment="1" applyBorder="1" applyFill="1" applyFont="1" applyNumberFormat="1">
      <alignment vertical="center"/>
    </xf>
    <xf borderId="0" fillId="4" fontId="8" numFmtId="164" xfId="0" applyAlignment="1" applyFill="1" applyFont="1" applyNumberFormat="1">
      <alignment vertical="center"/>
    </xf>
    <xf borderId="4" fillId="4" fontId="8" numFmtId="166" xfId="0" applyAlignment="1" applyBorder="1" applyFill="1" applyFont="1" applyNumberFormat="1">
      <alignment vertical="center"/>
    </xf>
    <xf borderId="3" fillId="6" fontId="8" numFmtId="0" xfId="0" applyAlignment="1" applyBorder="1" applyFill="1" applyFont="1">
      <alignment readingOrder="0" vertical="center"/>
    </xf>
    <xf borderId="0" fillId="6" fontId="8" numFmtId="3" xfId="0" applyAlignment="1" applyFill="1" applyFont="1" applyNumberFormat="1">
      <alignment vertical="center"/>
    </xf>
    <xf borderId="4" fillId="6" fontId="8" numFmtId="164" xfId="0" applyAlignment="1" applyBorder="1" applyFill="1" applyFont="1" applyNumberFormat="1">
      <alignment vertical="center"/>
    </xf>
    <xf borderId="0" fillId="6" fontId="8" numFmtId="164" xfId="0" applyAlignment="1" applyFill="1" applyFont="1" applyNumberFormat="1">
      <alignment vertical="center"/>
    </xf>
    <xf borderId="4" fillId="6" fontId="8" numFmtId="166" xfId="0" applyAlignment="1" applyBorder="1" applyFill="1" applyFont="1" applyNumberFormat="1">
      <alignment vertical="center"/>
    </xf>
    <xf borderId="5" fillId="4" fontId="3" numFmtId="0" xfId="0" applyAlignment="1" applyBorder="1" applyFill="1" applyFont="1">
      <alignment readingOrder="0" vertical="center"/>
    </xf>
    <xf borderId="8" fillId="4" fontId="3" numFmtId="3" xfId="0" applyAlignment="1" applyBorder="1" applyFill="1" applyFont="1" applyNumberFormat="1">
      <alignment vertical="center"/>
    </xf>
    <xf borderId="6" fillId="4" fontId="3" numFmtId="164" xfId="0" applyAlignment="1" applyBorder="1" applyFill="1" applyFont="1" applyNumberFormat="1">
      <alignment vertical="center"/>
    </xf>
    <xf borderId="8" fillId="4" fontId="3" numFmtId="164" xfId="0" applyAlignment="1" applyBorder="1" applyFill="1" applyFont="1" applyNumberFormat="1">
      <alignment vertical="center"/>
    </xf>
    <xf borderId="6" fillId="4" fontId="3" numFmtId="166" xfId="0" applyAlignment="1" applyBorder="1" applyFill="1" applyFont="1" applyNumberFormat="1">
      <alignment vertical="center"/>
    </xf>
    <xf borderId="3" fillId="5" fontId="3" numFmtId="0" xfId="0" applyAlignment="1" applyBorder="1" applyFill="1" applyFont="1">
      <alignment horizontal="center" readingOrder="0" vertical="center"/>
    </xf>
    <xf borderId="0" fillId="5" fontId="3" numFmtId="0" xfId="0" applyAlignment="1" applyFill="1" applyFont="1">
      <alignment horizontal="left" readingOrder="0" vertical="center"/>
    </xf>
    <xf borderId="3" fillId="4" fontId="8" numFmtId="167" xfId="0" applyAlignment="1" applyBorder="1" applyFill="1" applyFont="1" applyNumberFormat="1">
      <alignment horizontal="center" readingOrder="0" vertical="center"/>
    </xf>
    <xf borderId="0" fillId="4" fontId="8" numFmtId="0" xfId="0" applyAlignment="1" applyFill="1" applyFont="1">
      <alignment horizontal="left" readingOrder="0" vertical="center"/>
    </xf>
    <xf borderId="0" fillId="4" fontId="8" numFmtId="3" xfId="0" applyAlignment="1" applyFill="1" applyFont="1" applyNumberFormat="1">
      <alignment horizontal="right" readingOrder="0" vertical="center"/>
    </xf>
    <xf borderId="0" fillId="4" fontId="8" numFmtId="164" xfId="0" applyAlignment="1" applyFill="1" applyFont="1" applyNumberFormat="1">
      <alignment horizontal="right" readingOrder="0" vertical="center"/>
    </xf>
    <xf borderId="4" fillId="4" fontId="8" numFmtId="164" xfId="0" applyAlignment="1" applyBorder="1" applyFill="1" applyFont="1" applyNumberFormat="1">
      <alignment horizontal="right" vertical="center"/>
    </xf>
    <xf borderId="3" fillId="6" fontId="8" numFmtId="167" xfId="0" applyAlignment="1" applyBorder="1" applyFill="1" applyFont="1" applyNumberFormat="1">
      <alignment horizontal="center" readingOrder="0" vertical="center"/>
    </xf>
    <xf borderId="0" fillId="6" fontId="8" numFmtId="0" xfId="0" applyAlignment="1" applyFill="1" applyFont="1">
      <alignment horizontal="left" readingOrder="0" vertical="center"/>
    </xf>
    <xf borderId="0" fillId="6" fontId="8" numFmtId="3" xfId="0" applyAlignment="1" applyFill="1" applyFont="1" applyNumberFormat="1">
      <alignment horizontal="right" readingOrder="0" vertical="center"/>
    </xf>
    <xf borderId="0" fillId="6" fontId="8" numFmtId="164" xfId="0" applyAlignment="1" applyFill="1" applyFont="1" applyNumberFormat="1">
      <alignment horizontal="right" readingOrder="0" vertical="center"/>
    </xf>
    <xf borderId="4" fillId="6" fontId="8" numFmtId="164" xfId="0" applyAlignment="1" applyBorder="1" applyFill="1" applyFont="1" applyNumberFormat="1">
      <alignment horizontal="right" vertical="center"/>
    </xf>
    <xf borderId="5" fillId="4" fontId="3" numFmtId="0" xfId="0" applyAlignment="1" applyBorder="1" applyFill="1" applyFont="1">
      <alignment readingOrder="0"/>
    </xf>
    <xf borderId="8" fillId="0" fontId="4" numFmtId="0" xfId="0" applyBorder="1" applyFont="1"/>
    <xf borderId="8" fillId="4" fontId="3" numFmtId="3" xfId="0" applyBorder="1" applyFill="1" applyFont="1" applyNumberFormat="1"/>
    <xf borderId="8" fillId="4" fontId="3" numFmtId="164" xfId="0" applyBorder="1" applyFill="1" applyFont="1" applyNumberFormat="1"/>
    <xf borderId="6" fillId="4" fontId="3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25"/>
    <col customWidth="1" min="2" max="2" width="17.63"/>
    <col customWidth="1" min="3" max="3" width="20.13"/>
    <col customWidth="1" min="4" max="5" width="19.5"/>
    <col customWidth="1" min="6" max="6" width="21.38"/>
  </cols>
  <sheetData>
    <row r="1" ht="33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1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3" t="s">
        <v>1</v>
      </c>
      <c r="B3" s="4"/>
      <c r="C3" s="3" t="s">
        <v>2</v>
      </c>
      <c r="D3" s="4"/>
      <c r="E3" s="3" t="s">
        <v>3</v>
      </c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1.5" customHeight="1">
      <c r="A4" s="5">
        <f>SUM(D20:D25)</f>
        <v>1190</v>
      </c>
      <c r="B4" s="6"/>
      <c r="C4" s="7">
        <f>SUM(F20:F25)</f>
        <v>3639000</v>
      </c>
      <c r="D4" s="6"/>
      <c r="E4" s="7">
        <f>AVERAGE(E20:E25)</f>
        <v>3383.333333</v>
      </c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8" t="s">
        <v>4</v>
      </c>
      <c r="B5" s="9"/>
      <c r="C5" s="8" t="s">
        <v>5</v>
      </c>
      <c r="D5" s="9"/>
      <c r="E5" s="8" t="s">
        <v>6</v>
      </c>
      <c r="F5" s="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10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10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1" t="s">
        <v>7</v>
      </c>
      <c r="B8" s="12"/>
      <c r="C8" s="4"/>
      <c r="D8" s="11" t="s">
        <v>8</v>
      </c>
      <c r="E8" s="12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0" customHeight="1">
      <c r="A9" s="13" t="s">
        <v>9</v>
      </c>
      <c r="B9" s="14" t="s">
        <v>10</v>
      </c>
      <c r="C9" s="15" t="s">
        <v>11</v>
      </c>
      <c r="D9" s="13" t="s">
        <v>12</v>
      </c>
      <c r="E9" s="14" t="s">
        <v>11</v>
      </c>
      <c r="F9" s="15" t="s">
        <v>13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16" t="s">
        <v>14</v>
      </c>
      <c r="B10" s="17">
        <f t="shared" ref="B10:B12" si="1">SUMIFS($D$20:$D$25, $B$20:$B$25, A10)</f>
        <v>360</v>
      </c>
      <c r="C10" s="18">
        <f t="shared" ref="C10:C12" si="2">SUMIFS($F$20:$F$25, $B$20:$B$25, A10)</f>
        <v>1620000</v>
      </c>
      <c r="D10" s="16" t="s">
        <v>15</v>
      </c>
      <c r="E10" s="19">
        <f t="shared" ref="E10:E13" si="3">SUMIFS($F$20:$F$25, $C$20:$C$25, D10)</f>
        <v>1800000</v>
      </c>
      <c r="F10" s="20">
        <f t="shared" ref="F10:F13" si="4">E10/$C$13</f>
        <v>0.494641385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21" t="s">
        <v>16</v>
      </c>
      <c r="B11" s="22">
        <f t="shared" si="1"/>
        <v>750</v>
      </c>
      <c r="C11" s="23">
        <f t="shared" si="2"/>
        <v>1875000</v>
      </c>
      <c r="D11" s="21" t="s">
        <v>17</v>
      </c>
      <c r="E11" s="24">
        <f t="shared" si="3"/>
        <v>1155000</v>
      </c>
      <c r="F11" s="25">
        <f t="shared" si="4"/>
        <v>0.3173948887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16" t="s">
        <v>18</v>
      </c>
      <c r="B12" s="17">
        <f t="shared" si="1"/>
        <v>80</v>
      </c>
      <c r="C12" s="18">
        <f t="shared" si="2"/>
        <v>144000</v>
      </c>
      <c r="D12" s="16" t="s">
        <v>19</v>
      </c>
      <c r="E12" s="19">
        <f t="shared" si="3"/>
        <v>540000</v>
      </c>
      <c r="F12" s="20">
        <f t="shared" si="4"/>
        <v>0.1483924155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26" t="s">
        <v>20</v>
      </c>
      <c r="B13" s="27">
        <f t="shared" ref="B13:C13" si="5">SUM(B10:B12)</f>
        <v>1190</v>
      </c>
      <c r="C13" s="28">
        <f t="shared" si="5"/>
        <v>3639000</v>
      </c>
      <c r="D13" s="21" t="s">
        <v>21</v>
      </c>
      <c r="E13" s="24">
        <f t="shared" si="3"/>
        <v>144000</v>
      </c>
      <c r="F13" s="25">
        <f t="shared" si="4"/>
        <v>0.0395713108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2"/>
      <c r="B14" s="2"/>
      <c r="C14" s="2"/>
      <c r="D14" s="26" t="s">
        <v>20</v>
      </c>
      <c r="E14" s="29">
        <f t="shared" ref="E14:F14" si="6">SUM(E10:E13)</f>
        <v>3639000</v>
      </c>
      <c r="F14" s="30">
        <f t="shared" si="6"/>
        <v>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1" t="s">
        <v>22</v>
      </c>
      <c r="B18" s="12"/>
      <c r="C18" s="12"/>
      <c r="D18" s="12"/>
      <c r="E18" s="12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0" customHeight="1">
      <c r="A19" s="31" t="s">
        <v>23</v>
      </c>
      <c r="B19" s="32" t="s">
        <v>9</v>
      </c>
      <c r="C19" s="32" t="s">
        <v>12</v>
      </c>
      <c r="D19" s="14" t="s">
        <v>24</v>
      </c>
      <c r="E19" s="14" t="s">
        <v>25</v>
      </c>
      <c r="F19" s="15" t="s">
        <v>26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33">
        <v>44931.0</v>
      </c>
      <c r="B20" s="34" t="s">
        <v>14</v>
      </c>
      <c r="C20" s="34" t="s">
        <v>15</v>
      </c>
      <c r="D20" s="35">
        <v>150.0</v>
      </c>
      <c r="E20" s="36">
        <v>4500.0</v>
      </c>
      <c r="F20" s="37">
        <f t="shared" ref="F20:F25" si="7">D20*E20</f>
        <v>675000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38">
        <v>44938.0</v>
      </c>
      <c r="B21" s="39" t="s">
        <v>16</v>
      </c>
      <c r="C21" s="39" t="s">
        <v>17</v>
      </c>
      <c r="D21" s="40">
        <v>300.0</v>
      </c>
      <c r="E21" s="41">
        <v>2500.0</v>
      </c>
      <c r="F21" s="42">
        <f t="shared" si="7"/>
        <v>750000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33">
        <v>44977.0</v>
      </c>
      <c r="B22" s="34" t="s">
        <v>14</v>
      </c>
      <c r="C22" s="34" t="s">
        <v>19</v>
      </c>
      <c r="D22" s="35">
        <v>120.0</v>
      </c>
      <c r="E22" s="36">
        <v>4500.0</v>
      </c>
      <c r="F22" s="37">
        <f t="shared" si="7"/>
        <v>540000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38">
        <v>45000.0</v>
      </c>
      <c r="B23" s="39" t="s">
        <v>18</v>
      </c>
      <c r="C23" s="39" t="s">
        <v>21</v>
      </c>
      <c r="D23" s="40">
        <v>80.0</v>
      </c>
      <c r="E23" s="41">
        <v>1800.0</v>
      </c>
      <c r="F23" s="42">
        <f t="shared" si="7"/>
        <v>144000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33">
        <v>45026.0</v>
      </c>
      <c r="B24" s="34" t="s">
        <v>16</v>
      </c>
      <c r="C24" s="34" t="s">
        <v>15</v>
      </c>
      <c r="D24" s="35">
        <v>450.0</v>
      </c>
      <c r="E24" s="36">
        <v>2500.0</v>
      </c>
      <c r="F24" s="37">
        <f t="shared" si="7"/>
        <v>1125000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38">
        <v>45048.0</v>
      </c>
      <c r="B25" s="39" t="s">
        <v>14</v>
      </c>
      <c r="C25" s="39" t="s">
        <v>17</v>
      </c>
      <c r="D25" s="40">
        <v>90.0</v>
      </c>
      <c r="E25" s="41">
        <v>4500.0</v>
      </c>
      <c r="F25" s="42">
        <f t="shared" si="7"/>
        <v>405000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43" t="s">
        <v>27</v>
      </c>
      <c r="B26" s="44"/>
      <c r="C26" s="44"/>
      <c r="D26" s="45">
        <f>SUM(D20:D25)</f>
        <v>1190</v>
      </c>
      <c r="E26" s="46"/>
      <c r="F26" s="47">
        <f>SUM(F20:F25)</f>
        <v>3639000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</sheetData>
  <mergeCells count="14">
    <mergeCell ref="A5:B5"/>
    <mergeCell ref="C5:D5"/>
    <mergeCell ref="E5:F5"/>
    <mergeCell ref="A8:C8"/>
    <mergeCell ref="D8:F8"/>
    <mergeCell ref="A18:F18"/>
    <mergeCell ref="A26:C26"/>
    <mergeCell ref="A1:F1"/>
    <mergeCell ref="A3:B3"/>
    <mergeCell ref="C3:D3"/>
    <mergeCell ref="E3:F3"/>
    <mergeCell ref="A4:B4"/>
    <mergeCell ref="C4:D4"/>
    <mergeCell ref="E4:F4"/>
  </mergeCells>
  <drawing r:id="rId1"/>
</worksheet>
</file>